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C\.minecraft\versions\1.21.11-Fabric_0.19.2\schematics\自己的\全树种树场、树叶机-作者：碳基坤\"/>
    </mc:Choice>
  </mc:AlternateContent>
  <xr:revisionPtr revIDLastSave="0" documentId="13_ncr:1_{743CD6D0-4219-4513-8A0F-A7F6BCC2A9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E22" i="1"/>
  <c r="F22" i="1" s="1"/>
  <c r="E9" i="1"/>
  <c r="F9" i="1" s="1"/>
  <c r="E10" i="1"/>
  <c r="F10" i="1" s="1"/>
  <c r="E11" i="1"/>
  <c r="F11" i="1" s="1"/>
  <c r="E13" i="1"/>
  <c r="F13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2" i="1"/>
  <c r="F2" i="1" s="1"/>
</calcChain>
</file>

<file path=xl/sharedStrings.xml><?xml version="1.0" encoding="utf-8"?>
<sst xmlns="http://schemas.openxmlformats.org/spreadsheetml/2006/main" count="31" uniqueCount="31">
  <si>
    <t>产物</t>
    <phoneticPr fontId="1" type="noConversion"/>
  </si>
  <si>
    <t>效率(w/h)</t>
    <phoneticPr fontId="1" type="noConversion"/>
  </si>
  <si>
    <t>骨粉消耗(w/h)</t>
    <phoneticPr fontId="1" type="noConversion"/>
  </si>
  <si>
    <t>骨块消耗(w/h)</t>
    <phoneticPr fontId="1" type="noConversion"/>
  </si>
  <si>
    <t>骨块消耗(盒/h)</t>
    <phoneticPr fontId="1" type="noConversion"/>
  </si>
  <si>
    <t>金合欢原木</t>
    <phoneticPr fontId="1" type="noConversion"/>
  </si>
  <si>
    <t>白桦原木</t>
    <phoneticPr fontId="1" type="noConversion"/>
  </si>
  <si>
    <t>樱花原木</t>
    <phoneticPr fontId="1" type="noConversion"/>
  </si>
  <si>
    <t>丛林原木</t>
    <phoneticPr fontId="1" type="noConversion"/>
  </si>
  <si>
    <t>橡木原木</t>
    <phoneticPr fontId="1" type="noConversion"/>
  </si>
  <si>
    <t>云杉原木</t>
    <phoneticPr fontId="1" type="noConversion"/>
  </si>
  <si>
    <t>深色橡木原木</t>
    <phoneticPr fontId="1" type="noConversion"/>
  </si>
  <si>
    <t>苍白橡木原木</t>
    <phoneticPr fontId="1" type="noConversion"/>
  </si>
  <si>
    <t>红树原木</t>
    <phoneticPr fontId="1" type="noConversion"/>
  </si>
  <si>
    <t>红树根</t>
    <phoneticPr fontId="1" type="noConversion"/>
  </si>
  <si>
    <t>绯红/诡异菌柄</t>
    <phoneticPr fontId="1" type="noConversion"/>
  </si>
  <si>
    <t>白桦树叶</t>
    <phoneticPr fontId="1" type="noConversion"/>
  </si>
  <si>
    <t>杜鹃树叶</t>
    <phoneticPr fontId="1" type="noConversion"/>
  </si>
  <si>
    <t>金合欢树叶</t>
    <phoneticPr fontId="1" type="noConversion"/>
  </si>
  <si>
    <t>云杉树叶</t>
    <phoneticPr fontId="1" type="noConversion"/>
  </si>
  <si>
    <t>橡树树叶</t>
    <phoneticPr fontId="1" type="noConversion"/>
  </si>
  <si>
    <t>丛林树叶</t>
    <phoneticPr fontId="1" type="noConversion"/>
  </si>
  <si>
    <t>红树树叶</t>
    <phoneticPr fontId="1" type="noConversion"/>
  </si>
  <si>
    <t>樱花树叶</t>
    <phoneticPr fontId="1" type="noConversion"/>
  </si>
  <si>
    <t>原作者未给出</t>
    <phoneticPr fontId="1" type="noConversion"/>
  </si>
  <si>
    <t>深色橡树树叶</t>
    <phoneticPr fontId="1" type="noConversion"/>
  </si>
  <si>
    <t>苍白橡树树叶</t>
    <phoneticPr fontId="1" type="noConversion"/>
  </si>
  <si>
    <t>以上数据均为原作者视频/专栏给出数据得出，未经本人任何测试</t>
    <phoneticPr fontId="1" type="noConversion"/>
  </si>
  <si>
    <t>本人只保证机器能运行，对机器效率差异不做解释，请去问原作者</t>
    <phoneticPr fontId="1" type="noConversion"/>
  </si>
  <si>
    <t>所需六倍速</t>
    <phoneticPr fontId="1" type="noConversion"/>
  </si>
  <si>
    <t>杜鹃原木(应该是种杜鹃花丛得到的橡木原木)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</si>
</sst>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D9D0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E53B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FE53B"/>
      <color rgb="FFFD9D0F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85" zoomScaleNormal="85" workbookViewId="0">
      <selection activeCell="K15" sqref="K15"/>
    </sheetView>
  </sheetViews>
  <sheetFormatPr defaultRowHeight="20.399999999999999" x14ac:dyDescent="0.25"/>
  <cols>
    <col min="1" max="1" width="22.44140625" style="14" customWidth="1"/>
    <col min="2" max="2" width="13.77734375" style="14" customWidth="1"/>
    <col min="3" max="3" width="16" style="14" customWidth="1"/>
    <col min="4" max="4" width="19.33203125" style="14" customWidth="1"/>
    <col min="5" max="5" width="19.21875" style="14" customWidth="1"/>
    <col min="6" max="6" width="20.77734375" style="14" customWidth="1"/>
    <col min="7" max="16384" width="8.88671875" style="14"/>
  </cols>
  <sheetData>
    <row r="1" spans="1:6" ht="21" thickBot="1" x14ac:dyDescent="0.3">
      <c r="A1" s="1" t="s">
        <v>0</v>
      </c>
      <c r="B1" s="2" t="s">
        <v>1</v>
      </c>
      <c r="C1" s="2" t="s">
        <v>29</v>
      </c>
      <c r="D1" s="2" t="s">
        <v>2</v>
      </c>
      <c r="E1" s="2" t="s">
        <v>3</v>
      </c>
      <c r="F1" s="3" t="s">
        <v>4</v>
      </c>
    </row>
    <row r="2" spans="1:6" ht="21" thickBot="1" x14ac:dyDescent="0.3">
      <c r="A2" s="4" t="s">
        <v>5</v>
      </c>
      <c r="B2" s="5">
        <v>8.6</v>
      </c>
      <c r="C2" s="18">
        <f xml:space="preserve"> -INT(-B2/5.4)</f>
        <v>2</v>
      </c>
      <c r="D2" s="5">
        <v>9.1999999999999993</v>
      </c>
      <c r="E2" s="5">
        <f>D2/9</f>
        <v>1.0222222222222221</v>
      </c>
      <c r="F2" s="6">
        <f>E2*10000/1728</f>
        <v>5.9156378600823034</v>
      </c>
    </row>
    <row r="3" spans="1:6" ht="61.8" thickBot="1" x14ac:dyDescent="0.3">
      <c r="A3" s="20" t="s">
        <v>30</v>
      </c>
      <c r="B3" s="8">
        <v>7.1</v>
      </c>
      <c r="C3" s="18">
        <f t="shared" ref="C3:C21" si="0" xml:space="preserve"> -INT(-B3/5.4)</f>
        <v>2</v>
      </c>
      <c r="D3" s="8">
        <v>9.1999999999999993</v>
      </c>
      <c r="E3" s="8">
        <f t="shared" ref="E3:E13" si="1">D3/9</f>
        <v>1.0222222222222221</v>
      </c>
      <c r="F3" s="9">
        <f t="shared" ref="F3:F11" si="2">E3*10000/1728</f>
        <v>5.9156378600823034</v>
      </c>
    </row>
    <row r="4" spans="1:6" ht="21" thickBot="1" x14ac:dyDescent="0.3">
      <c r="A4" s="7" t="s">
        <v>6</v>
      </c>
      <c r="B4" s="8">
        <v>10.4</v>
      </c>
      <c r="C4" s="18">
        <f t="shared" si="0"/>
        <v>2</v>
      </c>
      <c r="D4" s="8">
        <v>9</v>
      </c>
      <c r="E4" s="8">
        <f t="shared" si="1"/>
        <v>1</v>
      </c>
      <c r="F4" s="9">
        <f t="shared" si="2"/>
        <v>5.7870370370370372</v>
      </c>
    </row>
    <row r="5" spans="1:6" ht="21" thickBot="1" x14ac:dyDescent="0.3">
      <c r="A5" s="7" t="s">
        <v>7</v>
      </c>
      <c r="B5" s="8">
        <v>12.8</v>
      </c>
      <c r="C5" s="17">
        <f t="shared" si="0"/>
        <v>3</v>
      </c>
      <c r="D5" s="8">
        <v>9.1999999999999993</v>
      </c>
      <c r="E5" s="8">
        <f t="shared" si="1"/>
        <v>1.0222222222222221</v>
      </c>
      <c r="F5" s="9">
        <f t="shared" si="2"/>
        <v>5.9156378600823034</v>
      </c>
    </row>
    <row r="6" spans="1:6" ht="21" thickBot="1" x14ac:dyDescent="0.3">
      <c r="A6" s="7" t="s">
        <v>8</v>
      </c>
      <c r="B6" s="8">
        <v>8.9</v>
      </c>
      <c r="C6" s="18">
        <f t="shared" si="0"/>
        <v>2</v>
      </c>
      <c r="D6" s="8">
        <v>9.1999999999999993</v>
      </c>
      <c r="E6" s="8">
        <f t="shared" si="1"/>
        <v>1.0222222222222221</v>
      </c>
      <c r="F6" s="9">
        <f t="shared" si="2"/>
        <v>5.9156378600823034</v>
      </c>
    </row>
    <row r="7" spans="1:6" ht="21" thickBot="1" x14ac:dyDescent="0.3">
      <c r="A7" s="7" t="s">
        <v>9</v>
      </c>
      <c r="B7" s="8">
        <v>8.6999999999999993</v>
      </c>
      <c r="C7" s="18">
        <f t="shared" si="0"/>
        <v>2</v>
      </c>
      <c r="D7" s="8">
        <v>8.9</v>
      </c>
      <c r="E7" s="8">
        <f t="shared" si="1"/>
        <v>0.98888888888888893</v>
      </c>
      <c r="F7" s="9">
        <f t="shared" si="2"/>
        <v>5.7227366255144032</v>
      </c>
    </row>
    <row r="8" spans="1:6" ht="21" thickBot="1" x14ac:dyDescent="0.3">
      <c r="A8" s="10" t="s">
        <v>10</v>
      </c>
      <c r="B8" s="11">
        <v>7.2</v>
      </c>
      <c r="C8" s="18">
        <f t="shared" si="0"/>
        <v>2</v>
      </c>
      <c r="D8" s="11">
        <v>9.1999999999999993</v>
      </c>
      <c r="E8" s="11">
        <f t="shared" si="1"/>
        <v>1.0222222222222221</v>
      </c>
      <c r="F8" s="12">
        <f t="shared" si="2"/>
        <v>5.9156378600823034</v>
      </c>
    </row>
    <row r="9" spans="1:6" ht="21" thickBot="1" x14ac:dyDescent="0.3">
      <c r="A9" s="4" t="s">
        <v>11</v>
      </c>
      <c r="B9" s="5">
        <v>17.655080000000002</v>
      </c>
      <c r="C9" s="16">
        <f t="shared" si="0"/>
        <v>4</v>
      </c>
      <c r="D9" s="5">
        <v>4.3692500000000001</v>
      </c>
      <c r="E9" s="5">
        <f t="shared" si="1"/>
        <v>0.48547222222222225</v>
      </c>
      <c r="F9" s="6">
        <f t="shared" si="2"/>
        <v>2.809445730452675</v>
      </c>
    </row>
    <row r="10" spans="1:6" ht="21" thickBot="1" x14ac:dyDescent="0.3">
      <c r="A10" s="10" t="s">
        <v>12</v>
      </c>
      <c r="B10" s="11">
        <v>17.602879999999999</v>
      </c>
      <c r="C10" s="16">
        <f t="shared" si="0"/>
        <v>4</v>
      </c>
      <c r="D10" s="11">
        <v>4.3692500000000001</v>
      </c>
      <c r="E10" s="11">
        <f t="shared" si="1"/>
        <v>0.48547222222222225</v>
      </c>
      <c r="F10" s="12">
        <f t="shared" si="2"/>
        <v>2.809445730452675</v>
      </c>
    </row>
    <row r="11" spans="1:6" ht="21" thickBot="1" x14ac:dyDescent="0.3">
      <c r="A11" s="4" t="s">
        <v>13</v>
      </c>
      <c r="B11" s="5">
        <v>8.7899999999999991</v>
      </c>
      <c r="C11" s="18">
        <f t="shared" si="0"/>
        <v>2</v>
      </c>
      <c r="D11" s="31">
        <v>8.6053999999999995</v>
      </c>
      <c r="E11" s="31">
        <f t="shared" si="1"/>
        <v>0.95615555555555554</v>
      </c>
      <c r="F11" s="29">
        <f t="shared" si="2"/>
        <v>5.5333076131687235</v>
      </c>
    </row>
    <row r="12" spans="1:6" ht="21" thickBot="1" x14ac:dyDescent="0.3">
      <c r="A12" s="10" t="s">
        <v>14</v>
      </c>
      <c r="B12" s="11">
        <v>4.63</v>
      </c>
      <c r="C12" s="19">
        <f t="shared" si="0"/>
        <v>1</v>
      </c>
      <c r="D12" s="36"/>
      <c r="E12" s="36"/>
      <c r="F12" s="30"/>
    </row>
    <row r="13" spans="1:6" ht="21" thickBot="1" x14ac:dyDescent="0.3">
      <c r="A13" s="1" t="s">
        <v>15</v>
      </c>
      <c r="B13" s="2">
        <v>12.401109999999999</v>
      </c>
      <c r="C13" s="17">
        <f t="shared" si="0"/>
        <v>3</v>
      </c>
      <c r="D13" s="2">
        <v>5.7542</v>
      </c>
      <c r="E13" s="2">
        <f t="shared" si="1"/>
        <v>0.63935555555555557</v>
      </c>
      <c r="F13" s="3">
        <f>E13*10000/1728</f>
        <v>3.699974279835391</v>
      </c>
    </row>
    <row r="14" spans="1:6" ht="21" thickBot="1" x14ac:dyDescent="0.3">
      <c r="A14" s="4" t="s">
        <v>16</v>
      </c>
      <c r="B14" s="5">
        <v>1.7169000000000001</v>
      </c>
      <c r="C14" s="19">
        <f t="shared" si="0"/>
        <v>1</v>
      </c>
      <c r="D14" s="31" t="s">
        <v>24</v>
      </c>
      <c r="E14" s="31"/>
      <c r="F14" s="29"/>
    </row>
    <row r="15" spans="1:6" ht="21" thickBot="1" x14ac:dyDescent="0.3">
      <c r="A15" s="7" t="s">
        <v>17</v>
      </c>
      <c r="B15" s="8">
        <v>1.3684000000000001</v>
      </c>
      <c r="C15" s="19">
        <f t="shared" si="0"/>
        <v>1</v>
      </c>
      <c r="D15" s="32"/>
      <c r="E15" s="32"/>
      <c r="F15" s="33"/>
    </row>
    <row r="16" spans="1:6" ht="21" thickBot="1" x14ac:dyDescent="0.3">
      <c r="A16" s="7" t="s">
        <v>18</v>
      </c>
      <c r="B16" s="8">
        <v>1.3684000000000001</v>
      </c>
      <c r="C16" s="19">
        <f t="shared" si="0"/>
        <v>1</v>
      </c>
      <c r="D16" s="32"/>
      <c r="E16" s="32"/>
      <c r="F16" s="33"/>
    </row>
    <row r="17" spans="1:6" ht="21" thickBot="1" x14ac:dyDescent="0.3">
      <c r="A17" s="7" t="s">
        <v>19</v>
      </c>
      <c r="B17" s="8">
        <v>1.6918</v>
      </c>
      <c r="C17" s="19">
        <f t="shared" si="0"/>
        <v>1</v>
      </c>
      <c r="D17" s="32"/>
      <c r="E17" s="32"/>
      <c r="F17" s="33"/>
    </row>
    <row r="18" spans="1:6" ht="21" thickBot="1" x14ac:dyDescent="0.3">
      <c r="A18" s="7" t="s">
        <v>20</v>
      </c>
      <c r="B18" s="8">
        <v>2.0158999999999998</v>
      </c>
      <c r="C18" s="19">
        <f t="shared" si="0"/>
        <v>1</v>
      </c>
      <c r="D18" s="32"/>
      <c r="E18" s="32"/>
      <c r="F18" s="33"/>
    </row>
    <row r="19" spans="1:6" ht="21" thickBot="1" x14ac:dyDescent="0.3">
      <c r="A19" s="7" t="s">
        <v>21</v>
      </c>
      <c r="B19" s="8">
        <v>1.5875999999999999</v>
      </c>
      <c r="C19" s="19">
        <f t="shared" si="0"/>
        <v>1</v>
      </c>
      <c r="D19" s="32"/>
      <c r="E19" s="32"/>
      <c r="F19" s="33"/>
    </row>
    <row r="20" spans="1:6" ht="21" thickBot="1" x14ac:dyDescent="0.3">
      <c r="A20" s="7" t="s">
        <v>22</v>
      </c>
      <c r="B20" s="8">
        <v>1.0758000000000001</v>
      </c>
      <c r="C20" s="19">
        <f t="shared" si="0"/>
        <v>1</v>
      </c>
      <c r="D20" s="32"/>
      <c r="E20" s="32"/>
      <c r="F20" s="33"/>
    </row>
    <row r="21" spans="1:6" ht="21" thickBot="1" x14ac:dyDescent="0.3">
      <c r="A21" s="13" t="s">
        <v>23</v>
      </c>
      <c r="B21" s="15">
        <v>1.4073</v>
      </c>
      <c r="C21" s="21">
        <f t="shared" si="0"/>
        <v>1</v>
      </c>
      <c r="D21" s="34"/>
      <c r="E21" s="34"/>
      <c r="F21" s="35"/>
    </row>
    <row r="22" spans="1:6" x14ac:dyDescent="0.25">
      <c r="A22" s="4" t="s">
        <v>25</v>
      </c>
      <c r="B22" s="5">
        <v>1.5502</v>
      </c>
      <c r="C22" s="19">
        <f xml:space="preserve"> -INT(-B22/5.4)</f>
        <v>1</v>
      </c>
      <c r="D22" s="31">
        <v>1.1196999999999999</v>
      </c>
      <c r="E22" s="31">
        <f>D22/9</f>
        <v>0.1244111111111111</v>
      </c>
      <c r="F22" s="29">
        <f>E22*10000/1728</f>
        <v>0.71997170781893005</v>
      </c>
    </row>
    <row r="23" spans="1:6" ht="21" thickBot="1" x14ac:dyDescent="0.3">
      <c r="A23" s="10" t="s">
        <v>26</v>
      </c>
      <c r="B23" s="11">
        <v>1.5502</v>
      </c>
      <c r="C23" s="22">
        <f xml:space="preserve"> -INT(-B23/5.4)</f>
        <v>1</v>
      </c>
      <c r="D23" s="36"/>
      <c r="E23" s="36"/>
      <c r="F23" s="30"/>
    </row>
    <row r="24" spans="1:6" ht="20.399999999999999" customHeight="1" x14ac:dyDescent="0.25">
      <c r="A24" s="23" t="s">
        <v>27</v>
      </c>
      <c r="B24" s="24"/>
      <c r="C24" s="24"/>
      <c r="D24" s="24"/>
      <c r="E24" s="24"/>
      <c r="F24" s="25"/>
    </row>
    <row r="25" spans="1:6" ht="20.399999999999999" customHeight="1" thickBot="1" x14ac:dyDescent="0.3">
      <c r="A25" s="26" t="s">
        <v>28</v>
      </c>
      <c r="B25" s="27"/>
      <c r="C25" s="27"/>
      <c r="D25" s="27"/>
      <c r="E25" s="27"/>
      <c r="F25" s="28"/>
    </row>
  </sheetData>
  <mergeCells count="9">
    <mergeCell ref="A24:F24"/>
    <mergeCell ref="A25:F25"/>
    <mergeCell ref="F22:F23"/>
    <mergeCell ref="D14:F21"/>
    <mergeCell ref="D11:D12"/>
    <mergeCell ref="E11:E12"/>
    <mergeCell ref="F11:F12"/>
    <mergeCell ref="D22:D23"/>
    <mergeCell ref="E22:E2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丹辉 计</cp:lastModifiedBy>
  <dcterms:created xsi:type="dcterms:W3CDTF">2015-06-05T18:19:34Z</dcterms:created>
  <dcterms:modified xsi:type="dcterms:W3CDTF">2026-07-21T12:29:07Z</dcterms:modified>
</cp:coreProperties>
</file>